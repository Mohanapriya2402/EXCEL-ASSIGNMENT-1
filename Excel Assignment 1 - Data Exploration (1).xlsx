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han\Downloads\"/>
    </mc:Choice>
  </mc:AlternateContent>
  <xr:revisionPtr revIDLastSave="0" documentId="13_ncr:1_{83A6AE32-F313-48C3-9219-3739D720FC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L33" i="1"/>
  <c r="L29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L22" i="1"/>
  <c r="L18" i="1"/>
  <c r="L14" i="1"/>
  <c r="L10" i="1"/>
  <c r="L6" i="1"/>
</calcChain>
</file>

<file path=xl/sharedStrings.xml><?xml version="1.0" encoding="utf-8"?>
<sst xmlns="http://schemas.openxmlformats.org/spreadsheetml/2006/main" count="170" uniqueCount="121">
  <si>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</si>
  <si>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</si>
  <si>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</si>
  <si>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</si>
  <si>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</si>
  <si>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</si>
  <si>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</si>
  <si>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</si>
  <si>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</si>
  <si>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</si>
  <si>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FORMULA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</si>
  <si>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</si>
  <si>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</si>
  <si>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</si>
  <si>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</si>
  <si>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</si>
  <si>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</si>
  <si>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</si>
  <si>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</si>
  <si>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</si>
  <si>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</si>
  <si>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</si>
  <si>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</si>
  <si>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Calculate the total price of all products in the dataset</t>
  </si>
  <si>
    <t>11-APR-US</t>
  </si>
  <si>
    <t>Smartphone</t>
  </si>
  <si>
    <t>Samsung</t>
  </si>
  <si>
    <t>SUM(D2:D35)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</si>
  <si>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</si>
  <si>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</si>
  <si>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</si>
  <si>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</si>
  <si>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</si>
  <si>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</si>
  <si>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</si>
  <si>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</si>
  <si>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</si>
  <si>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</si>
  <si>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Determine how many product in the data</t>
  </si>
  <si>
    <t>exist in the data set</t>
  </si>
  <si>
    <t>23-AUG-UK</t>
  </si>
  <si>
    <t>Blender</t>
  </si>
  <si>
    <t>Ninja</t>
  </si>
  <si>
    <t>COUNTA(A2:A35)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</si>
  <si>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</si>
  <si>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</si>
  <si>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</si>
  <si>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</si>
  <si>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</si>
  <si>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</si>
  <si>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</si>
  <si>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</si>
  <si>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Calculate the average price of the products</t>
  </si>
  <si>
    <t>25-NOV-AU</t>
  </si>
  <si>
    <t>AVERAGE(D2:D35)</t>
  </si>
  <si>
    <t>08-DEC-DE</t>
  </si>
  <si>
    <t>Nespresso</t>
  </si>
  <si>
    <t>18-FEB-CA</t>
  </si>
  <si>
    <t>Smartwatch</t>
  </si>
  <si>
    <t>Fitbit</t>
  </si>
  <si>
    <t>16-APR-ES</t>
  </si>
  <si>
    <t>Bose</t>
  </si>
  <si>
    <t>Identify minimum product among all products</t>
  </si>
  <si>
    <t>21-AUG-CA</t>
  </si>
  <si>
    <t>Laptop Bag</t>
  </si>
  <si>
    <t>Samsonite</t>
  </si>
  <si>
    <t>Accessories</t>
  </si>
  <si>
    <t>MIN(D2:D36)</t>
  </si>
  <si>
    <t>20-AUG-CN</t>
  </si>
  <si>
    <t>Huawei</t>
  </si>
  <si>
    <t>27-JAN-IT</t>
  </si>
  <si>
    <t>Asus</t>
  </si>
  <si>
    <t>01-MAR-UK</t>
  </si>
  <si>
    <t>Sunglasses</t>
  </si>
  <si>
    <t>Oakley</t>
  </si>
  <si>
    <t>Identify maximum product among all products</t>
  </si>
  <si>
    <t>14-AUG-US</t>
  </si>
  <si>
    <t>Camping Tent</t>
  </si>
  <si>
    <t>Coleman</t>
  </si>
  <si>
    <t>MAX(D2:D36)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</si>
  <si>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</si>
  <si>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</si>
  <si>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</si>
  <si>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</si>
  <si>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</si>
  <si>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</si>
  <si>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</si>
  <si>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</si>
  <si>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</si>
  <si>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Logical function-IF</t>
  </si>
  <si>
    <r>
      <t>IF(</t>
    </r>
    <r>
      <rPr>
        <sz val="11"/>
        <color rgb="FF006CBE"/>
        <rFont val="Consolas"/>
        <charset val="1"/>
      </rPr>
      <t>D2</t>
    </r>
    <r>
      <rPr>
        <sz val="11"/>
        <color rgb="FF242424"/>
        <rFont val="Consolas"/>
        <charset val="1"/>
      </rPr>
      <t>&gt;=500,"HIGH PRICE","STANDARD PRICE")</t>
    </r>
  </si>
  <si>
    <t>29-SEP-CA</t>
  </si>
  <si>
    <t>Google</t>
  </si>
  <si>
    <t>03-JUN-CA</t>
  </si>
  <si>
    <t>Ray-Ban</t>
  </si>
  <si>
    <t>SUMIF function</t>
  </si>
  <si>
    <t>11-JUL-CA</t>
  </si>
  <si>
    <t>Vitamix</t>
  </si>
  <si>
    <t>SUMIF(F2:F35,"Electronics",D2:D35)</t>
  </si>
  <si>
    <t>07-MAR-CA</t>
  </si>
  <si>
    <t>Dress</t>
  </si>
  <si>
    <t>Zara</t>
  </si>
  <si>
    <t>13-APR-CA</t>
  </si>
  <si>
    <t>Toaster</t>
  </si>
  <si>
    <t>Hamilton</t>
  </si>
  <si>
    <t>COUNTIF Function</t>
  </si>
  <si>
    <t>24-MAY-CA</t>
  </si>
  <si>
    <t>Garmin</t>
  </si>
  <si>
    <t>COUNTIF(D2:D35,"&lt;100")</t>
  </si>
  <si>
    <t>02-DEC-CA</t>
  </si>
  <si>
    <t>Jeans</t>
  </si>
  <si>
    <t>Levi's</t>
  </si>
  <si>
    <t>09-JUL-FR</t>
  </si>
  <si>
    <t>Watch</t>
  </si>
  <si>
    <t>Casio</t>
  </si>
  <si>
    <t>LEFT Function</t>
  </si>
  <si>
    <t>LEFT(A2,2)</t>
  </si>
  <si>
    <t>RIGHT Function</t>
  </si>
  <si>
    <t>RIGHT(A2,2)</t>
  </si>
  <si>
    <t>MID Function</t>
  </si>
  <si>
    <t>MID(A2,4,3)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</si>
</sst>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scheme val="minor"/>
    </font>
    <font>
      <sz val="11"/>
      <color rgb="FF006CBE"/>
      <name val="Consolas"/>
      <charset val="1"/>
    </font>
    <font>
      <sz val="11"/>
      <color rgb="FF242424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F55D73-9CDE-45E2-B808-AB76A2E4C230}" name="Table2" displayName="Table2" ref="A1:J35" totalsRowShown="0" headerRowDxfId="7">
  <autoFilter ref="A1:J35" xr:uid="{6FF55D73-9CDE-45E2-B808-AB76A2E4C230}"/>
  <tableColumns count="10">
    <tableColumn id="1" xr3:uid="{66F059E3-BC51-47A3-BBE9-F816079E5F80}" name="Product ID" dataDxfId="6"/>
    <tableColumn id="2" xr3:uid="{FF5B9A01-02EF-47D0-B1C8-41595D43D308}" name="Product Name" dataDxfId="5"/>
    <tableColumn id="3" xr3:uid="{8B77C693-2241-425D-9404-B40585EB1577}" name="Brand Name" dataDxfId="4"/>
    <tableColumn id="4" xr3:uid="{939F445B-DC8D-4573-8624-125644111442}" name="Price ($)" dataDxfId="3"/>
    <tableColumn id="5" xr3:uid="{F7A6BF23-2413-4F73-A301-CE793C9CBAEA}" name="Quantity" dataDxfId="2"/>
    <tableColumn id="6" xr3:uid="{C29DC040-D9B2-4317-BE10-E7C3B0F93BE1}" name="Category" dataDxfId="1"/>
    <tableColumn id="7" xr3:uid="{DA2423F6-C2AB-433D-96CC-AAEC81441C0E}" name="Price Range" dataDxfId="0">
      <calculatedColumnFormula>IF(D2&gt;=500,"HIGH PRICE","STANDARD PRICE")</calculatedColumnFormula>
    </tableColumn>
    <tableColumn id="8" xr3:uid="{74B97B1E-296E-4610-8FF6-4311D74C1A5C}" name="Day">
      <calculatedColumnFormula>LEFT(A2,2)</calculatedColumnFormula>
    </tableColumn>
    <tableColumn id="9" xr3:uid="{2C7550DF-1794-49DB-A02E-9D489B63156D}" name="Country code">
      <calculatedColumnFormula>RIGHT(A2,2)</calculatedColumnFormula>
    </tableColumn>
    <tableColumn id="10" xr3:uid="{7F2823CB-F7E8-4C86-87E2-0099C09E9AAF}" name="Month">
      <calculatedColumnFormula>MID(A2,4,3)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topLeftCell="A34" workbookViewId="0">
      <selection activeCell="L43" sqref="L43"/>
    </sheetView>
  </sheetViews>
  <sheetFormatPr defaultColWidth="12.5546875" defaultRowHeight="15" customHeight="1" x14ac:dyDescent="0.25"/>
  <cols>
    <col min="1" max="1" width="12.88671875" bestFit="1" customWidth="1"/>
    <col min="2" max="2" width="16.109375" customWidth="1"/>
    <col min="3" max="3" width="14.44140625" bestFit="1" customWidth="1"/>
    <col min="7" max="7" width="17.88671875" customWidth="1"/>
    <col min="9" max="9" width="15.5546875" bestFit="1" customWidth="1"/>
  </cols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L1" s="3" t="s">
        <v>10</v>
      </c>
    </row>
    <row r="2" spans="1:14" ht="15.75" customHeight="1" x14ac:dyDescent="0.25">
      <c r="A2" s="2" t="s">
        <v>11</v>
      </c>
      <c r="B2" s="2" t="s">
        <v>12</v>
      </c>
      <c r="C2" s="2" t="s">
        <v>13</v>
      </c>
      <c r="D2" s="2">
        <v>1000</v>
      </c>
      <c r="E2" s="2">
        <v>30</v>
      </c>
      <c r="F2" s="2" t="s">
        <v>14</v>
      </c>
      <c r="G2" s="2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4" ht="15.75" customHeight="1" x14ac:dyDescent="0.25">
      <c r="A3" s="2" t="s">
        <v>15</v>
      </c>
      <c r="B3" s="2" t="s">
        <v>16</v>
      </c>
      <c r="C3" s="2" t="s">
        <v>17</v>
      </c>
      <c r="D3" s="2">
        <v>80</v>
      </c>
      <c r="E3" s="2">
        <v>15</v>
      </c>
      <c r="F3" s="2" t="s">
        <v>18</v>
      </c>
      <c r="G3" s="2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4" ht="15.75" customHeight="1" x14ac:dyDescent="0.25">
      <c r="A4" s="2" t="s">
        <v>19</v>
      </c>
      <c r="B4" s="2" t="s">
        <v>20</v>
      </c>
      <c r="C4" s="2" t="s">
        <v>21</v>
      </c>
      <c r="D4" s="2">
        <v>130</v>
      </c>
      <c r="E4" s="2">
        <v>40</v>
      </c>
      <c r="F4" s="2" t="s">
        <v>22</v>
      </c>
      <c r="G4" s="2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  <c r="L4" t="s">
        <v>23</v>
      </c>
    </row>
    <row r="5" spans="1:14" ht="15.75" customHeight="1" x14ac:dyDescent="0.25">
      <c r="A5" s="2" t="s">
        <v>24</v>
      </c>
      <c r="B5" s="2" t="s">
        <v>25</v>
      </c>
      <c r="C5" s="2" t="s">
        <v>26</v>
      </c>
      <c r="D5" s="2">
        <v>900</v>
      </c>
      <c r="E5" s="2">
        <v>25</v>
      </c>
      <c r="F5" s="2" t="s">
        <v>14</v>
      </c>
      <c r="G5" s="2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  <c r="L5" t="s">
        <v>27</v>
      </c>
    </row>
    <row r="6" spans="1:14" ht="15.75" customHeight="1" x14ac:dyDescent="0.25">
      <c r="A6" s="2" t="s">
        <v>28</v>
      </c>
      <c r="B6" s="2" t="s">
        <v>29</v>
      </c>
      <c r="C6" s="2" t="s">
        <v>30</v>
      </c>
      <c r="D6" s="2">
        <v>70</v>
      </c>
      <c r="E6" s="2">
        <v>20</v>
      </c>
      <c r="F6" s="2" t="s">
        <v>31</v>
      </c>
      <c r="G6" s="2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  <c r="L6">
        <f>SUM(D2:D35)</f>
        <v>10100</v>
      </c>
    </row>
    <row r="7" spans="1:14" ht="15.75" customHeight="1" x14ac:dyDescent="0.25">
      <c r="A7" s="2" t="s">
        <v>32</v>
      </c>
      <c r="B7" s="2" t="s">
        <v>33</v>
      </c>
      <c r="C7" s="2" t="s">
        <v>34</v>
      </c>
      <c r="D7" s="2">
        <v>200</v>
      </c>
      <c r="E7" s="2">
        <v>45</v>
      </c>
      <c r="F7" s="2" t="s">
        <v>14</v>
      </c>
      <c r="G7" s="2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4" ht="15.75" customHeight="1" x14ac:dyDescent="0.25">
      <c r="A8" s="2" t="s">
        <v>35</v>
      </c>
      <c r="B8" s="2" t="s">
        <v>36</v>
      </c>
      <c r="C8" s="2" t="s">
        <v>37</v>
      </c>
      <c r="D8" s="2">
        <v>30</v>
      </c>
      <c r="E8" s="2">
        <v>5</v>
      </c>
      <c r="F8" s="2" t="s">
        <v>18</v>
      </c>
      <c r="G8" s="2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  <c r="L8" t="s">
        <v>38</v>
      </c>
      <c r="N8" t="s">
        <v>39</v>
      </c>
    </row>
    <row r="9" spans="1:14" ht="15.75" customHeight="1" x14ac:dyDescent="0.25">
      <c r="A9" s="2" t="s">
        <v>40</v>
      </c>
      <c r="B9" s="2" t="s">
        <v>41</v>
      </c>
      <c r="C9" s="2" t="s">
        <v>42</v>
      </c>
      <c r="D9" s="2">
        <v>90</v>
      </c>
      <c r="E9" s="2">
        <v>35</v>
      </c>
      <c r="F9" s="2" t="s">
        <v>22</v>
      </c>
      <c r="G9" s="2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  <c r="L9" t="s">
        <v>43</v>
      </c>
    </row>
    <row r="10" spans="1:14" ht="15.75" customHeight="1" x14ac:dyDescent="0.25">
      <c r="A10" s="2" t="s">
        <v>44</v>
      </c>
      <c r="B10" s="2" t="s">
        <v>45</v>
      </c>
      <c r="C10" s="2" t="s">
        <v>46</v>
      </c>
      <c r="D10" s="2">
        <v>500</v>
      </c>
      <c r="E10" s="2">
        <v>50</v>
      </c>
      <c r="F10" s="2" t="s">
        <v>14</v>
      </c>
      <c r="G10" s="2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  <c r="L10">
        <f>COUNTA(A2:A35)</f>
        <v>34</v>
      </c>
    </row>
    <row r="11" spans="1:14" ht="15.75" customHeight="1" x14ac:dyDescent="0.25">
      <c r="A11" s="2" t="s">
        <v>47</v>
      </c>
      <c r="B11" s="2" t="s">
        <v>48</v>
      </c>
      <c r="C11" s="2" t="s">
        <v>49</v>
      </c>
      <c r="D11" s="2">
        <v>130</v>
      </c>
      <c r="E11" s="2">
        <v>10</v>
      </c>
      <c r="F11" s="2" t="s">
        <v>31</v>
      </c>
      <c r="G11" s="2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4" ht="15.75" customHeight="1" x14ac:dyDescent="0.25">
      <c r="A12" s="2" t="s">
        <v>50</v>
      </c>
      <c r="B12" s="2" t="s">
        <v>12</v>
      </c>
      <c r="C12" s="2" t="s">
        <v>51</v>
      </c>
      <c r="D12" s="2">
        <v>950</v>
      </c>
      <c r="E12" s="2">
        <v>25</v>
      </c>
      <c r="F12" s="2" t="s">
        <v>14</v>
      </c>
      <c r="G12" s="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  <c r="L12" t="s">
        <v>52</v>
      </c>
    </row>
    <row r="13" spans="1:14" ht="15.75" customHeight="1" x14ac:dyDescent="0.25">
      <c r="A13" s="2" t="s">
        <v>53</v>
      </c>
      <c r="B13" s="2" t="s">
        <v>16</v>
      </c>
      <c r="C13" s="2" t="s">
        <v>37</v>
      </c>
      <c r="D13" s="2">
        <v>90</v>
      </c>
      <c r="E13" s="2">
        <v>40</v>
      </c>
      <c r="F13" s="2" t="s">
        <v>18</v>
      </c>
      <c r="G13" s="2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  <c r="L13" t="s">
        <v>54</v>
      </c>
    </row>
    <row r="14" spans="1:14" ht="15.75" customHeight="1" x14ac:dyDescent="0.25">
      <c r="A14" s="2" t="s">
        <v>55</v>
      </c>
      <c r="B14" s="2" t="s">
        <v>20</v>
      </c>
      <c r="C14" s="2" t="s">
        <v>56</v>
      </c>
      <c r="D14" s="2">
        <v>120</v>
      </c>
      <c r="E14" s="2">
        <v>35</v>
      </c>
      <c r="F14" s="2" t="s">
        <v>22</v>
      </c>
      <c r="G14" s="2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  <c r="L14">
        <f>AVERAGE(D2:D35)</f>
        <v>297.05882352941177</v>
      </c>
    </row>
    <row r="15" spans="1:14" ht="15.75" customHeight="1" x14ac:dyDescent="0.25">
      <c r="A15" s="2" t="s">
        <v>57</v>
      </c>
      <c r="B15" s="2" t="s">
        <v>58</v>
      </c>
      <c r="C15" s="2" t="s">
        <v>59</v>
      </c>
      <c r="D15" s="2">
        <v>150</v>
      </c>
      <c r="E15" s="2">
        <v>15</v>
      </c>
      <c r="F15" s="2" t="s">
        <v>14</v>
      </c>
      <c r="G15" s="2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4" ht="15.75" customHeight="1" x14ac:dyDescent="0.25">
      <c r="A16" s="2" t="s">
        <v>60</v>
      </c>
      <c r="B16" s="2" t="s">
        <v>33</v>
      </c>
      <c r="C16" s="2" t="s">
        <v>61</v>
      </c>
      <c r="D16" s="2">
        <v>250</v>
      </c>
      <c r="E16" s="2">
        <v>20</v>
      </c>
      <c r="F16" s="2" t="s">
        <v>14</v>
      </c>
      <c r="G16" s="2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  <c r="L16" t="s">
        <v>62</v>
      </c>
    </row>
    <row r="17" spans="1:12" ht="15.75" customHeight="1" x14ac:dyDescent="0.25">
      <c r="A17" s="2" t="s">
        <v>63</v>
      </c>
      <c r="B17" s="2" t="s">
        <v>64</v>
      </c>
      <c r="C17" s="2" t="s">
        <v>65</v>
      </c>
      <c r="D17" s="2">
        <v>50</v>
      </c>
      <c r="E17" s="2">
        <v>35</v>
      </c>
      <c r="F17" s="2" t="s">
        <v>66</v>
      </c>
      <c r="G17" s="2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  <c r="L17" t="s">
        <v>67</v>
      </c>
    </row>
    <row r="18" spans="1:12" ht="15.75" customHeight="1" x14ac:dyDescent="0.25">
      <c r="A18" s="2" t="s">
        <v>68</v>
      </c>
      <c r="B18" s="2" t="s">
        <v>58</v>
      </c>
      <c r="C18" s="2" t="s">
        <v>69</v>
      </c>
      <c r="D18" s="2">
        <v>160</v>
      </c>
      <c r="E18" s="2">
        <v>15</v>
      </c>
      <c r="F18" s="2" t="s">
        <v>14</v>
      </c>
      <c r="G18" s="2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  <c r="L18">
        <f>MIN(D2:D36)</f>
        <v>30</v>
      </c>
    </row>
    <row r="19" spans="1:12" ht="15.75" customHeight="1" x14ac:dyDescent="0.25">
      <c r="A19" s="2" t="s">
        <v>70</v>
      </c>
      <c r="B19" s="2" t="s">
        <v>12</v>
      </c>
      <c r="C19" s="2" t="s">
        <v>71</v>
      </c>
      <c r="D19" s="2">
        <v>980</v>
      </c>
      <c r="E19" s="2">
        <v>10</v>
      </c>
      <c r="F19" s="2" t="s">
        <v>14</v>
      </c>
      <c r="G19" s="2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2" ht="15.75" customHeight="1" x14ac:dyDescent="0.25">
      <c r="A20" s="2" t="s">
        <v>72</v>
      </c>
      <c r="B20" s="2" t="s">
        <v>73</v>
      </c>
      <c r="C20" s="2" t="s">
        <v>74</v>
      </c>
      <c r="D20" s="2">
        <v>150</v>
      </c>
      <c r="E20" s="2">
        <v>15</v>
      </c>
      <c r="F20" s="2" t="s">
        <v>18</v>
      </c>
      <c r="G20" s="2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  <c r="L20" t="s">
        <v>75</v>
      </c>
    </row>
    <row r="21" spans="1:12" ht="15.75" customHeight="1" x14ac:dyDescent="0.25">
      <c r="A21" s="2" t="s">
        <v>76</v>
      </c>
      <c r="B21" s="2" t="s">
        <v>77</v>
      </c>
      <c r="C21" s="2" t="s">
        <v>78</v>
      </c>
      <c r="D21" s="2">
        <v>200</v>
      </c>
      <c r="E21" s="2">
        <v>10</v>
      </c>
      <c r="F21" s="2" t="s">
        <v>31</v>
      </c>
      <c r="G21" s="2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  <c r="L21" t="s">
        <v>79</v>
      </c>
    </row>
    <row r="22" spans="1:12" ht="15.75" customHeight="1" x14ac:dyDescent="0.25">
      <c r="A22" s="2" t="s">
        <v>80</v>
      </c>
      <c r="B22" s="2" t="s">
        <v>81</v>
      </c>
      <c r="C22" s="2" t="s">
        <v>82</v>
      </c>
      <c r="D22" s="2">
        <v>700</v>
      </c>
      <c r="E22" s="2">
        <v>50</v>
      </c>
      <c r="F22" s="2" t="s">
        <v>14</v>
      </c>
      <c r="G22" s="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  <c r="L22">
        <f>MAX(D2:D36)</f>
        <v>1000</v>
      </c>
    </row>
    <row r="23" spans="1:12" ht="15.75" customHeight="1" x14ac:dyDescent="0.25">
      <c r="A23" s="2" t="s">
        <v>83</v>
      </c>
      <c r="B23" s="2" t="s">
        <v>84</v>
      </c>
      <c r="C23" s="2" t="s">
        <v>85</v>
      </c>
      <c r="D23" s="2">
        <v>80</v>
      </c>
      <c r="E23" s="2">
        <v>20</v>
      </c>
      <c r="F23" s="2" t="s">
        <v>22</v>
      </c>
      <c r="G23" s="2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2" ht="15.75" customHeight="1" x14ac:dyDescent="0.25">
      <c r="A24" s="2" t="s">
        <v>86</v>
      </c>
      <c r="B24" s="2" t="s">
        <v>87</v>
      </c>
      <c r="C24" s="2" t="s">
        <v>88</v>
      </c>
      <c r="D24" s="2">
        <v>150</v>
      </c>
      <c r="E24" s="2">
        <v>30</v>
      </c>
      <c r="F24" s="2" t="s">
        <v>14</v>
      </c>
      <c r="G24" s="2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  <c r="L24" t="s">
        <v>89</v>
      </c>
    </row>
    <row r="25" spans="1:12" ht="15.75" customHeight="1" x14ac:dyDescent="0.3">
      <c r="A25" s="2" t="s">
        <v>63</v>
      </c>
      <c r="B25" s="2" t="s">
        <v>64</v>
      </c>
      <c r="C25" s="2" t="s">
        <v>65</v>
      </c>
      <c r="D25" s="2">
        <v>50</v>
      </c>
      <c r="E25" s="2">
        <v>35</v>
      </c>
      <c r="F25" s="2" t="s">
        <v>66</v>
      </c>
      <c r="G25" s="2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  <c r="L25" s="4" t="s">
        <v>90</v>
      </c>
    </row>
    <row r="26" spans="1:12" ht="15.75" customHeight="1" x14ac:dyDescent="0.25">
      <c r="A26" s="2" t="s">
        <v>91</v>
      </c>
      <c r="B26" s="2" t="s">
        <v>25</v>
      </c>
      <c r="C26" s="2" t="s">
        <v>92</v>
      </c>
      <c r="D26" s="2">
        <v>800</v>
      </c>
      <c r="E26" s="2">
        <v>45</v>
      </c>
      <c r="F26" s="2" t="s">
        <v>14</v>
      </c>
      <c r="G26" s="2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2" ht="15.75" customHeight="1" x14ac:dyDescent="0.25">
      <c r="A27" s="2" t="s">
        <v>93</v>
      </c>
      <c r="B27" s="2" t="s">
        <v>73</v>
      </c>
      <c r="C27" s="2" t="s">
        <v>94</v>
      </c>
      <c r="D27" s="2">
        <v>130</v>
      </c>
      <c r="E27" s="2">
        <v>25</v>
      </c>
      <c r="F27" s="2" t="s">
        <v>18</v>
      </c>
      <c r="G27" s="2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  <c r="L27" t="s">
        <v>95</v>
      </c>
    </row>
    <row r="28" spans="1:12" ht="15.75" customHeight="1" x14ac:dyDescent="0.25">
      <c r="A28" s="2" t="s">
        <v>96</v>
      </c>
      <c r="B28" s="2" t="s">
        <v>41</v>
      </c>
      <c r="C28" s="2" t="s">
        <v>97</v>
      </c>
      <c r="D28" s="2">
        <v>400</v>
      </c>
      <c r="E28" s="2">
        <v>40</v>
      </c>
      <c r="F28" s="2" t="s">
        <v>22</v>
      </c>
      <c r="G28" s="2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  <c r="L28" t="s">
        <v>98</v>
      </c>
    </row>
    <row r="29" spans="1:12" ht="15.75" customHeight="1" x14ac:dyDescent="0.25">
      <c r="A29" s="2" t="s">
        <v>60</v>
      </c>
      <c r="B29" s="2" t="s">
        <v>33</v>
      </c>
      <c r="C29" s="2" t="s">
        <v>61</v>
      </c>
      <c r="D29" s="2">
        <v>230</v>
      </c>
      <c r="E29" s="2">
        <v>20</v>
      </c>
      <c r="F29" s="2" t="s">
        <v>14</v>
      </c>
      <c r="G29" s="2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  <c r="L29">
        <f ca="1">SUMIF(F2:F35,"Electronics",D2)</f>
        <v>8050</v>
      </c>
    </row>
    <row r="30" spans="1:12" ht="15.75" customHeight="1" x14ac:dyDescent="0.25">
      <c r="A30" s="2" t="s">
        <v>99</v>
      </c>
      <c r="B30" s="2" t="s">
        <v>100</v>
      </c>
      <c r="C30" s="2" t="s">
        <v>101</v>
      </c>
      <c r="D30" s="2">
        <v>60</v>
      </c>
      <c r="E30" s="2">
        <v>30</v>
      </c>
      <c r="F30" s="2" t="s">
        <v>18</v>
      </c>
      <c r="G30" s="2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2" ht="15.75" customHeight="1" x14ac:dyDescent="0.25">
      <c r="A31" s="2" t="s">
        <v>102</v>
      </c>
      <c r="B31" s="2" t="s">
        <v>103</v>
      </c>
      <c r="C31" s="2" t="s">
        <v>104</v>
      </c>
      <c r="D31" s="2">
        <v>40</v>
      </c>
      <c r="E31" s="2">
        <v>10</v>
      </c>
      <c r="F31" s="2" t="s">
        <v>22</v>
      </c>
      <c r="G31" s="2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  <c r="L31" t="s">
        <v>105</v>
      </c>
    </row>
    <row r="32" spans="1:12" ht="15.75" customHeight="1" x14ac:dyDescent="0.25">
      <c r="A32" s="2" t="s">
        <v>106</v>
      </c>
      <c r="B32" s="2" t="s">
        <v>87</v>
      </c>
      <c r="C32" s="2" t="s">
        <v>107</v>
      </c>
      <c r="D32" s="2">
        <v>130</v>
      </c>
      <c r="E32" s="2">
        <v>5</v>
      </c>
      <c r="F32" s="2" t="s">
        <v>14</v>
      </c>
      <c r="G32" s="2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  <c r="L32" t="s">
        <v>108</v>
      </c>
    </row>
    <row r="33" spans="1:12" ht="15.75" customHeight="1" x14ac:dyDescent="0.25">
      <c r="A33" s="2" t="s">
        <v>109</v>
      </c>
      <c r="B33" s="2" t="s">
        <v>110</v>
      </c>
      <c r="C33" s="2" t="s">
        <v>111</v>
      </c>
      <c r="D33" s="2">
        <v>50</v>
      </c>
      <c r="E33" s="2">
        <v>50</v>
      </c>
      <c r="F33" s="2" t="s">
        <v>18</v>
      </c>
      <c r="G33" s="2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  <c r="L33">
        <f>COUNTIF(D2:D35,"&lt;100")</f>
        <v>11</v>
      </c>
    </row>
    <row r="34" spans="1:12" ht="15.75" customHeight="1" x14ac:dyDescent="0.25">
      <c r="A34" s="2" t="s">
        <v>50</v>
      </c>
      <c r="B34" s="2" t="s">
        <v>12</v>
      </c>
      <c r="C34" s="2" t="s">
        <v>51</v>
      </c>
      <c r="D34" s="2">
        <v>950</v>
      </c>
      <c r="E34" s="2">
        <v>25</v>
      </c>
      <c r="F34" s="2" t="s">
        <v>14</v>
      </c>
      <c r="G34" s="2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2" ht="15.75" customHeight="1" x14ac:dyDescent="0.25">
      <c r="A35" s="2" t="s">
        <v>112</v>
      </c>
      <c r="B35" s="2" t="s">
        <v>113</v>
      </c>
      <c r="C35" s="2" t="s">
        <v>114</v>
      </c>
      <c r="D35" s="2">
        <v>100</v>
      </c>
      <c r="E35" s="2">
        <v>20</v>
      </c>
      <c r="F35" s="2" t="s">
        <v>66</v>
      </c>
      <c r="G35" s="2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  <c r="L35" t="s">
        <v>115</v>
      </c>
    </row>
    <row r="36" spans="1:12" ht="15.75" customHeight="1" x14ac:dyDescent="0.25">
      <c r="L36" t="s">
        <v>116</v>
      </c>
    </row>
    <row r="37" spans="1:12" ht="15.75" customHeight="1" x14ac:dyDescent="0.25"/>
    <row r="38" spans="1:12" ht="15.75" customHeight="1" x14ac:dyDescent="0.25">
      <c r="L38" t="s">
        <v>117</v>
      </c>
    </row>
    <row r="39" spans="1:12" ht="15.75" customHeight="1" x14ac:dyDescent="0.25">
      <c r="L39" t="s">
        <v>118</v>
      </c>
    </row>
    <row r="40" spans="1:12" ht="15.75" customHeight="1" x14ac:dyDescent="0.25"/>
    <row r="41" spans="1:12" ht="15.75" customHeight="1" x14ac:dyDescent="0.25">
      <c r="L41" t="s">
        <v>119</v>
      </c>
    </row>
    <row r="42" spans="1:12" ht="15.75" customHeight="1" x14ac:dyDescent="0.25">
      <c r="L42" t="s">
        <v>120</v>
      </c>
    </row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mohana priya ramachandran</cp:lastModifiedBy>
  <cp:revision/>
  <dcterms:created xsi:type="dcterms:W3CDTF">2026-09-21T04:43:38Z</dcterms:created>
  <dcterms:modified xsi:type="dcterms:W3CDTF">2026-09-21T06:57:24Z</dcterms:modified>
  <cp:category/>
  <cp:contentStatus/>
</cp:coreProperties>
</file>